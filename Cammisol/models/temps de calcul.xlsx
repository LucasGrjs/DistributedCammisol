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ucas\Documents\GitHub\cammisol\Cammisol\models\"/>
    </mc:Choice>
  </mc:AlternateContent>
  <xr:revisionPtr revIDLastSave="0" documentId="13_ncr:1_{8AAE10ED-9293-4869-979D-57E397D2B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H17" i="1"/>
  <c r="F17" i="1"/>
  <c r="E17" i="1"/>
  <c r="D17" i="1"/>
  <c r="C17" i="1"/>
  <c r="B17" i="1"/>
  <c r="G19" i="1" l="1"/>
  <c r="G20" i="1" s="1"/>
  <c r="D19" i="1"/>
  <c r="D20" i="1" s="1"/>
  <c r="E19" i="1"/>
  <c r="E20" i="1" s="1"/>
  <c r="F19" i="1"/>
  <c r="F20" i="1" s="1"/>
  <c r="G18" i="1"/>
  <c r="E18" i="1"/>
  <c r="D18" i="1"/>
  <c r="C18" i="1"/>
  <c r="C19" i="1"/>
  <c r="C20" i="1" s="1"/>
  <c r="H18" i="1"/>
  <c r="F18" i="1"/>
  <c r="H19" i="1"/>
  <c r="H20" i="1" s="1"/>
  <c r="B18" i="1"/>
</calcChain>
</file>

<file path=xl/sharedStrings.xml><?xml version="1.0" encoding="utf-8"?>
<sst xmlns="http://schemas.openxmlformats.org/spreadsheetml/2006/main" count="23" uniqueCount="22">
  <si>
    <t>4</t>
  </si>
  <si>
    <t>1</t>
  </si>
  <si>
    <t>Exec 1</t>
  </si>
  <si>
    <t>Exec 2</t>
  </si>
  <si>
    <t>Exec 3</t>
  </si>
  <si>
    <t>Exec 4</t>
  </si>
  <si>
    <t>Exec 5</t>
  </si>
  <si>
    <t>Exec 6</t>
  </si>
  <si>
    <t>Exec 7</t>
  </si>
  <si>
    <t>Exec 8</t>
  </si>
  <si>
    <t>Exec 9</t>
  </si>
  <si>
    <t>Exec 10</t>
  </si>
  <si>
    <t>2</t>
  </si>
  <si>
    <t xml:space="preserve">                                   Nombre de processeur
Temps d'exécution (en s)</t>
  </si>
  <si>
    <t>Temps moyen (seconde)</t>
  </si>
  <si>
    <t>Gain de temps par rapport à 1 proc</t>
  </si>
  <si>
    <t>Speedup</t>
  </si>
  <si>
    <t>Efficiency</t>
  </si>
  <si>
    <t>1.00</t>
  </si>
  <si>
    <t>8</t>
  </si>
  <si>
    <t>16</t>
  </si>
  <si>
    <t>KMEAN, 30x30, 50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</si>
</sst>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b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5C67C2-EA55-4499-B6B6-E9AEBB316481}" name="Tableau224" displayName="Tableau224" ref="B6:F18" totalsRowCount="1" headerRowDxfId="14" dataDxfId="12" totalsRowDxfId="11" headerRowBorderDxfId="13" totalsRowBorderDxfId="10">
  <autoFilter ref="B6:F17" xr:uid="{1F5C67C2-EA55-4499-B6B6-E9AEBB316481}"/>
  <tableColumns count="5">
    <tableColumn id="1" xr3:uid="{2AE05C96-6F4C-496F-8B77-C8DB95DBD8B0}" name="1" totalsRowFunction="custom" dataDxfId="9" totalsRowDxfId="4">
      <totalsRowFormula>ROUND((B17-B17)/B17,3)</totalsRowFormula>
    </tableColumn>
    <tableColumn id="2" xr3:uid="{2F247BA6-665D-456D-ABCF-771D38A5D590}" name="2" totalsRowFunction="custom" dataDxfId="8" totalsRowDxfId="3">
      <totalsRowFormula>ROUND(($B17-C17)/$B17,3)</totalsRowFormula>
    </tableColumn>
    <tableColumn id="4" xr3:uid="{76E0D84A-F942-4D65-AC1E-CDB13A2D7A09}" name="4" totalsRowFunction="custom" dataDxfId="7" totalsRowDxfId="2">
      <totalsRowFormula>ROUND(($B17-D17)/$B17,3)</totalsRowFormula>
    </tableColumn>
    <tableColumn id="8" xr3:uid="{35388527-0468-4EA2-8984-2840CC39B521}" name="8" totalsRowFunction="custom" dataDxfId="6" totalsRowDxfId="1">
      <totalsRowFormula>ROUND(($B17-E17)/$B17,3)</totalsRowFormula>
    </tableColumn>
    <tableColumn id="16" xr3:uid="{7FAB6273-B251-436C-8422-3B5EF69AF9E3}" name="16" totalsRowFunction="custom" dataDxfId="5" totalsRowDxfId="0">
      <totalsRowFormula>ROUND(($B17-F17)/$B17,3)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20"/>
  <sheetViews>
    <sheetView tabSelected="1" topLeftCell="A4" workbookViewId="0">
      <selection activeCell="C23" sqref="C23"/>
    </sheetView>
  </sheetViews>
  <sheetFormatPr baseColWidth="10" defaultColWidth="8.88671875" defaultRowHeight="14.4" x14ac:dyDescent="0.3"/>
  <cols>
    <col min="1" max="1" width="36.109375" customWidth="1"/>
    <col min="2" max="2" width="13.6640625" customWidth="1"/>
    <col min="3" max="3" width="13.5546875" customWidth="1"/>
    <col min="4" max="4" width="10.88671875" customWidth="1"/>
  </cols>
  <sheetData>
    <row r="5" spans="1:8" ht="23.4" x14ac:dyDescent="0.45">
      <c r="A5" s="14" t="s">
        <v>21</v>
      </c>
      <c r="B5" s="14"/>
      <c r="C5" s="14"/>
      <c r="D5" s="14"/>
    </row>
    <row r="6" spans="1:8" ht="28.8" x14ac:dyDescent="0.3">
      <c r="A6" s="8" t="s">
        <v>13</v>
      </c>
      <c r="B6" s="1" t="s">
        <v>1</v>
      </c>
      <c r="C6" s="2" t="s">
        <v>12</v>
      </c>
      <c r="D6" s="2" t="s">
        <v>0</v>
      </c>
      <c r="E6" s="2" t="s">
        <v>19</v>
      </c>
      <c r="F6" s="11" t="s">
        <v>20</v>
      </c>
      <c r="G6" s="13">
        <v>32</v>
      </c>
      <c r="H6" s="12">
        <v>64</v>
      </c>
    </row>
    <row r="7" spans="1:8" x14ac:dyDescent="0.3">
      <c r="A7" s="9" t="s">
        <v>2</v>
      </c>
      <c r="B7" s="1">
        <v>330</v>
      </c>
      <c r="C7" s="2">
        <v>209</v>
      </c>
      <c r="D7" s="3">
        <v>110</v>
      </c>
      <c r="E7" s="2">
        <v>77</v>
      </c>
      <c r="F7" s="11">
        <v>64</v>
      </c>
      <c r="G7" s="2">
        <v>40</v>
      </c>
      <c r="H7" s="11">
        <v>39</v>
      </c>
    </row>
    <row r="8" spans="1:8" x14ac:dyDescent="0.3">
      <c r="A8" s="9" t="s">
        <v>3</v>
      </c>
      <c r="B8" s="1">
        <v>333</v>
      </c>
      <c r="C8" s="2">
        <v>203</v>
      </c>
      <c r="D8" s="2">
        <v>107</v>
      </c>
      <c r="E8" s="2">
        <v>77</v>
      </c>
      <c r="F8" s="2">
        <v>66</v>
      </c>
      <c r="G8" s="2">
        <v>44</v>
      </c>
      <c r="H8" s="2">
        <v>37</v>
      </c>
    </row>
    <row r="9" spans="1:8" x14ac:dyDescent="0.3">
      <c r="A9" s="9" t="s">
        <v>4</v>
      </c>
      <c r="B9" s="1">
        <v>352</v>
      </c>
      <c r="C9" s="2">
        <v>218</v>
      </c>
      <c r="D9" s="2">
        <v>104</v>
      </c>
      <c r="E9" s="2">
        <v>77</v>
      </c>
      <c r="F9" s="2">
        <v>63</v>
      </c>
      <c r="G9" s="2">
        <v>41</v>
      </c>
      <c r="H9" s="2">
        <v>44</v>
      </c>
    </row>
    <row r="10" spans="1:8" x14ac:dyDescent="0.3">
      <c r="A10" s="9" t="s">
        <v>5</v>
      </c>
      <c r="B10" s="1">
        <v>330</v>
      </c>
      <c r="C10" s="2">
        <v>220</v>
      </c>
      <c r="D10" s="2">
        <v>105</v>
      </c>
      <c r="E10" s="2">
        <v>73</v>
      </c>
      <c r="F10" s="2">
        <v>69</v>
      </c>
      <c r="G10" s="2">
        <v>42</v>
      </c>
      <c r="H10" s="2">
        <v>36</v>
      </c>
    </row>
    <row r="11" spans="1:8" x14ac:dyDescent="0.3">
      <c r="A11" s="9" t="s">
        <v>6</v>
      </c>
      <c r="B11" s="1">
        <v>367</v>
      </c>
      <c r="C11" s="2">
        <v>239</v>
      </c>
      <c r="D11" s="2">
        <v>105</v>
      </c>
      <c r="E11" s="2">
        <v>75</v>
      </c>
      <c r="F11" s="2">
        <v>68</v>
      </c>
      <c r="G11" s="2">
        <v>41</v>
      </c>
      <c r="H11" s="2">
        <v>41</v>
      </c>
    </row>
    <row r="12" spans="1:8" x14ac:dyDescent="0.3">
      <c r="A12" s="9" t="s">
        <v>7</v>
      </c>
      <c r="B12" s="1">
        <v>332</v>
      </c>
      <c r="C12" s="2">
        <v>224</v>
      </c>
      <c r="D12" s="2">
        <v>107</v>
      </c>
      <c r="E12" s="2">
        <v>73</v>
      </c>
      <c r="F12" s="2">
        <v>64</v>
      </c>
      <c r="G12" s="2">
        <v>44</v>
      </c>
      <c r="H12" s="2">
        <v>41</v>
      </c>
    </row>
    <row r="13" spans="1:8" x14ac:dyDescent="0.3">
      <c r="A13" s="9" t="s">
        <v>8</v>
      </c>
      <c r="B13" s="1">
        <v>367</v>
      </c>
      <c r="C13" s="2">
        <v>217</v>
      </c>
      <c r="D13" s="2">
        <v>116</v>
      </c>
      <c r="E13" s="2">
        <v>75</v>
      </c>
      <c r="F13" s="2">
        <v>63</v>
      </c>
      <c r="G13" s="2">
        <v>43</v>
      </c>
      <c r="H13" s="2">
        <v>38</v>
      </c>
    </row>
    <row r="14" spans="1:8" x14ac:dyDescent="0.3">
      <c r="A14" s="9" t="s">
        <v>9</v>
      </c>
      <c r="B14" s="1">
        <v>338</v>
      </c>
      <c r="C14" s="2">
        <v>207</v>
      </c>
      <c r="D14" s="2">
        <v>103</v>
      </c>
      <c r="E14" s="2">
        <v>73</v>
      </c>
      <c r="F14" s="2">
        <v>66</v>
      </c>
      <c r="G14" s="2">
        <v>41</v>
      </c>
      <c r="H14" s="2">
        <v>35</v>
      </c>
    </row>
    <row r="15" spans="1:8" x14ac:dyDescent="0.3">
      <c r="A15" s="9" t="s">
        <v>10</v>
      </c>
      <c r="B15" s="1">
        <v>331</v>
      </c>
      <c r="C15" s="2">
        <v>206</v>
      </c>
      <c r="D15" s="2">
        <v>105</v>
      </c>
      <c r="E15" s="2">
        <v>76</v>
      </c>
      <c r="F15" s="2">
        <v>67</v>
      </c>
      <c r="G15" s="2">
        <v>41</v>
      </c>
      <c r="H15" s="2">
        <v>40</v>
      </c>
    </row>
    <row r="16" spans="1:8" x14ac:dyDescent="0.3">
      <c r="A16" s="9" t="s">
        <v>11</v>
      </c>
      <c r="B16" s="1">
        <v>374</v>
      </c>
      <c r="C16" s="2">
        <v>220</v>
      </c>
      <c r="D16" s="2">
        <v>107</v>
      </c>
      <c r="E16" s="2">
        <v>73</v>
      </c>
      <c r="F16" s="2">
        <v>67</v>
      </c>
      <c r="G16" s="2">
        <v>47</v>
      </c>
      <c r="H16" s="2">
        <v>39</v>
      </c>
    </row>
    <row r="17" spans="1:8" x14ac:dyDescent="0.3">
      <c r="A17" s="4" t="s">
        <v>14</v>
      </c>
      <c r="B17" s="1">
        <f t="shared" ref="B17" si="0">AVERAGE(B7:B16)</f>
        <v>345.4</v>
      </c>
      <c r="C17" s="4">
        <f>AVERAGE(C7:C16)</f>
        <v>216.3</v>
      </c>
      <c r="D17" s="4">
        <f t="shared" ref="D17" si="1">AVERAGE(D7:D16)</f>
        <v>106.9</v>
      </c>
      <c r="E17" s="4">
        <f>AVERAGE(E7:E16)</f>
        <v>74.900000000000006</v>
      </c>
      <c r="F17" s="4">
        <f t="shared" ref="F17" si="2">AVERAGE(F7:F16)</f>
        <v>65.7</v>
      </c>
      <c r="G17" s="4">
        <f>AVERAGE(G7:G16)</f>
        <v>42.4</v>
      </c>
      <c r="H17" s="4">
        <f>AVERAGE(H7:H16)</f>
        <v>39</v>
      </c>
    </row>
    <row r="18" spans="1:8" x14ac:dyDescent="0.3">
      <c r="A18" s="10" t="s">
        <v>15</v>
      </c>
      <c r="B18" s="1">
        <f>ROUND((B17-B17)/B17,3)</f>
        <v>0</v>
      </c>
      <c r="C18" s="5">
        <f t="shared" ref="C18:E18" si="3">ROUND(($B17-C17)/$B17,3)</f>
        <v>0.374</v>
      </c>
      <c r="D18" s="5">
        <f t="shared" si="3"/>
        <v>0.69099999999999995</v>
      </c>
      <c r="E18" s="5">
        <f t="shared" si="3"/>
        <v>0.78300000000000003</v>
      </c>
      <c r="F18" s="5">
        <f t="shared" ref="F18" si="4">ROUND(($B17-F17)/$B17,3)</f>
        <v>0.81</v>
      </c>
      <c r="G18" s="5">
        <f>ROUND(($B17-G17)/$B17,3)</f>
        <v>0.877</v>
      </c>
      <c r="H18" s="5">
        <f>ROUND(($B17-H17)/$B17,3)</f>
        <v>0.88700000000000001</v>
      </c>
    </row>
    <row r="19" spans="1:8" x14ac:dyDescent="0.3">
      <c r="A19" s="6" t="s">
        <v>16</v>
      </c>
      <c r="B19" s="1" t="s">
        <v>18</v>
      </c>
      <c r="C19" s="6">
        <f>($B17/C17)</f>
        <v>1.5968562182154413</v>
      </c>
      <c r="D19" s="6">
        <f t="shared" ref="D19:F19" si="5">($B17/D17)</f>
        <v>3.2310570626753972</v>
      </c>
      <c r="E19" s="6">
        <f t="shared" si="5"/>
        <v>4.6114819759679566</v>
      </c>
      <c r="F19" s="6">
        <f t="shared" si="5"/>
        <v>5.2572298325722979</v>
      </c>
      <c r="G19" s="6">
        <f>($B17/G17)</f>
        <v>8.1462264150943398</v>
      </c>
      <c r="H19" s="6">
        <f>($B17/H17)</f>
        <v>8.8564102564102551</v>
      </c>
    </row>
    <row r="20" spans="1:8" x14ac:dyDescent="0.3">
      <c r="A20" s="7" t="s">
        <v>17</v>
      </c>
      <c r="B20" s="1" t="s">
        <v>18</v>
      </c>
      <c r="C20" s="7">
        <f>(C19/2)</f>
        <v>0.79842810910772066</v>
      </c>
      <c r="D20" s="7">
        <f>(D19/4)</f>
        <v>0.80776426566884929</v>
      </c>
      <c r="E20" s="7">
        <f>(E19/8)</f>
        <v>0.57643524699599458</v>
      </c>
      <c r="F20" s="7">
        <f>(F19/16)</f>
        <v>0.32857686453576862</v>
      </c>
      <c r="G20" s="7">
        <f>(G19/32)</f>
        <v>0.25456957547169812</v>
      </c>
      <c r="H20" s="7">
        <f>(H19/64)</f>
        <v>0.13838141025641024</v>
      </c>
    </row>
  </sheetData>
  <mergeCells count="1">
    <mergeCell ref="A5:D5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Grosjean</cp:lastModifiedBy>
  <dcterms:created xsi:type="dcterms:W3CDTF">2015-06-05T18:19:34Z</dcterms:created>
  <dcterms:modified xsi:type="dcterms:W3CDTF">2025-04-11T04:56:05Z</dcterms:modified>
</cp:coreProperties>
</file>